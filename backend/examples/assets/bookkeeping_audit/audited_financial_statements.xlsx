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194710b2f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03374d8c7fd04063"/>
    <x:sheet xmlns:r="http://schemas.openxmlformats.org/officeDocument/2006/relationships" name="利润表" sheetId="2" r:id="R6c4712ac34114d81"/>
    <x:sheet xmlns:r="http://schemas.openxmlformats.org/officeDocument/2006/relationships" name="现金流量表" sheetId="3" r:id="R0326712c14cd43e4"/>
    <x:sheet xmlns:r="http://schemas.openxmlformats.org/officeDocument/2006/relationships" name="所有者权益变动表" sheetId="4" r:id="Rdce5d397b13649b3"/>
    <x:sheet xmlns:r="http://schemas.openxmlformats.org/officeDocument/2006/relationships" name="Checks" sheetId="5" r:id="R0cf579924cea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10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666666"/>
      <x:name val="Aptos"/>
    </x:font>
    <x:font>
      <x:b/>
      <x:sz val="10"/>
      <x:color rgb="FF17365D"/>
      <x:name val="Aptos"/>
    </x:font>
    <x:font>
      <x:sz val="10"/>
      <x:color rgb="FF0000FF"/>
      <x:name val="Aptos"/>
    </x:font>
    <x:font>
      <x:b/>
      <x:sz val="10"/>
      <x:color rgb="FFFFFFFF"/>
      <x:name val="Aptos"/>
    </x:font>
    <x:font>
      <x:sz val="10"/>
      <x:color rgb="FF000000"/>
      <x:name val="Aptos"/>
    </x:font>
    <x:font>
      <x:b/>
      <x:sz val="10"/>
      <x:color rgb="FF000000"/>
      <x:name val="Aptos"/>
    </x:font>
    <x:font>
      <x:sz val="10"/>
      <x:color rgb="FF008000"/>
      <x:name val="Aptos"/>
    </x:font>
    <x:font>
      <x:sz val="10"/>
      <x:color rgb="FF17365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thin">
        <x:color rgb="FFB4C6D7"/>
      </x:bottom>
    </x:border>
    <x:border>
      <x:top style="thin">
        <x:color rgb="FFB4C6D7"/>
      </x:top>
      <x:bottom style="thin">
        <x:color rgb="FFB4C6D7"/>
      </x:bottom>
    </x:border>
    <x:border>
      <x:top style="thin">
        <x:color rgb="FF17365D"/>
      </x:top>
      <x:bottom style="thin">
        <x:color rgb="FFB4C6D7"/>
      </x:bottom>
    </x:border>
    <x:border>
      <x:left style="thin">
        <x:color rgb="FFB4C6D7"/>
      </x:left>
      <x:top style="thin">
        <x:color rgb="FFB4C6D7"/>
      </x:top>
    </x:border>
    <x:border>
      <x:top style="thin">
        <x:color rgb="FFB4C6D7"/>
      </x:top>
    </x:border>
    <x:border>
      <x:right style="thin">
        <x:color rgb="FFB4C6D7"/>
      </x:right>
      <x:top style="thin">
        <x:color rgb="FFB4C6D7"/>
      </x:top>
    </x:border>
    <x:border>
      <x:left style="thin">
        <x:color rgb="FFB4C6D7"/>
      </x:left>
    </x:border>
    <x:border>
      <x:right style="thin">
        <x:color rgb="FFB4C6D7"/>
      </x:right>
    </x:border>
    <x:border>
      <x:left style="thin">
        <x:color rgb="FFB4C6D7"/>
      </x:left>
      <x:bottom style="thin">
        <x:color rgb="FFB4C6D7"/>
      </x:bottom>
    </x:border>
    <x:border>
      <x:right style="thin">
        <x:color rgb="FFB4C6D7"/>
      </x:right>
      <x:bottom style="thin">
        <x:color rgb="FFB4C6D7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 wrapText="1"/>
    </x:xf>
    <x:xf numFmtId="200" fontId="4" fillId="6" borderId="3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horizontal="right" vertical="center" wrapText="1"/>
    </x:xf>
    <x:xf numFmtId="200" fontId="4" fillId="6" borderId="3" xfId="0" applyNumberFormat="1" applyFont="1" applyFill="1" applyBorder="1" applyAlignment="1">
      <x:alignment horizontal="right" vertical="center" wrapText="1"/>
    </x:xf>
    <x:xf numFmtId="20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horizontal="right" vertical="center"/>
    </x:xf>
    <x:xf numFmtId="0" fontId="7" fillId="0" borderId="3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horizontal="right" vertical="center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horizontal="right" vertical="center"/>
    </x:xf>
    <x:xf numFmtId="0" fontId="7" fillId="4" borderId="4" xfId="0" applyNumberFormat="1" applyFont="1" applyFill="1" applyBorder="1" applyAlignment="1">
      <x:alignment vertical="center"/>
    </x:xf>
    <x:xf numFmtId="200" fontId="7" fillId="4" borderId="4" xfId="0" applyNumberFormat="1" applyFont="1" applyFill="1" applyBorder="1" applyAlignment="1">
      <x:alignment horizontal="right" vertical="center"/>
    </x:xf>
    <x:xf numFmtId="0" fontId="8" fillId="0" borderId="3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7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2" xfId="0" applyNumberFormat="1" applyFont="1" applyFill="1" applyBorder="1"/>
    <x:xf numFmtId="0" fontId="9" fillId="3" borderId="11" xfId="0" applyNumberFormat="1" applyFont="1" applyFill="1" applyBorder="1"/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7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0d898f3b34379" /><Relationship Type="http://schemas.openxmlformats.org/officeDocument/2006/relationships/theme" Target="/xl/theme/theme1.xml" Id="R16dace74a8814d8c" /><Relationship Type="http://schemas.openxmlformats.org/officeDocument/2006/relationships/sharedStrings" Target="/xl/sharedStrings.xml" Id="R090b49ecd7d84acf" /><Relationship Type="http://schemas.openxmlformats.org/officeDocument/2006/relationships/worksheet" Target="/xl/worksheets/sheet1.xml" Id="R03374d8c7fd04063" /><Relationship Type="http://schemas.openxmlformats.org/officeDocument/2006/relationships/worksheet" Target="/xl/worksheets/sheet2.xml" Id="R6c4712ac34114d81" /><Relationship Type="http://schemas.openxmlformats.org/officeDocument/2006/relationships/worksheet" Target="/xl/worksheets/sheet3.xml" Id="R0326712c14cd43e4" /><Relationship Type="http://schemas.openxmlformats.org/officeDocument/2006/relationships/worksheet" Target="/xl/worksheets/sheet4.xml" Id="Rdce5d397b13649b3" /><Relationship Type="http://schemas.openxmlformats.org/officeDocument/2006/relationships/worksheet" Target="/xl/worksheets/sheet5.xml" Id="R0cf579924cea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34" customHeight="1">
      <x:c r="A1" s="3" t="str">
        <x:v>资产负债表</x:v>
      </x:c>
      <x:c r="B1" s="3" t="str">
        <x:v>资产负债表</x:v>
      </x:c>
      <x:c r="C1" s="3" t="str">
        <x:v>资产负债表</x:v>
      </x:c>
      <x:c r="D1" s="3" t="str">
        <x:v>资产负债表</x:v>
      </x:c>
    </x:row>
    <x:row r="2" ht="22" customHeight="1">
      <x:c r="A2" s="6" t="str">
        <x:v>{{project.company_name}} · {{project.audit_year}}年度经审计财务报表</x:v>
      </x:c>
      <x:c r="B2" s="6" t="str">
        <x:v>{{project.company_name}} · {{project.audit_year}}年度经审计财务报表</x:v>
      </x:c>
      <x:c r="C2" s="6" t="str">
        <x:v>{{project.company_name}} · {{project.audit_year}}年度经审计财务报表</x:v>
      </x:c>
      <x:c r="D2" s="6" t="str">
        <x:v>{{project.company_name}} · {{project.audit_year}}年度经审计财务报表</x:v>
      </x:c>
    </x:row>
    <x:row r="3">
      <x:c r="A3" s="9" t="str">
        <x:v>公司名称</x:v>
      </x:c>
      <x:c r="B3" s="11" t="str">
        <x:v>{{project.company_name}}</x:v>
      </x:c>
      <x:c r="C3" s="9" t="str">
        <x:v>审计项目</x:v>
      </x:c>
      <x:c r="D3" s="11" t="str">
        <x:v>{{project.project_id}}</x:v>
      </x:c>
    </x:row>
    <x:row r="4">
      <x:c r="A4" s="9" t="str">
        <x:v>财务报表日</x:v>
      </x:c>
      <x:c r="B4" s="11" t="str">
        <x:v>{{project.period_end}}</x:v>
      </x:c>
      <x:c r="C4" s="9" t="str">
        <x:v>金额单位</x:v>
      </x:c>
      <x:c r="D4" s="11" t="str">
        <x:v>{{project.currency_unit}}</x:v>
      </x:c>
    </x:row>
    <x:row r="5" ht="26" customHeight="1">
      <x:c r="A5" s="17" t="str">
        <x:v>项目</x:v>
      </x:c>
      <x:c r="B5" s="17" t="str">
        <x:v>类别</x:v>
      </x:c>
      <x:c r="C5" s="17" t="str">
        <x:v>期末余额</x:v>
      </x:c>
      <x:c r="D5" s="17" t="str">
        <x:v>审计说明</x:v>
      </x:c>
    </x:row>
    <x:row r="6" ht="32" customHeight="1">
      <x:c r="A6" s="21" t="str">
        <x:v>货币资金</x:v>
      </x:c>
      <x:c r="B6" s="21" t="str">
        <x:v>流动资产</x:v>
      </x:c>
      <x:c r="C6" s="31" t="str">
        <x:v>{{statements.balance_sheet.cash}}</x:v>
      </x:c>
      <x:c r="D6" s="21" t="str">
        <x:v>与现金流量表及银行函证勾稽</x:v>
      </x:c>
    </x:row>
    <x:row r="7" ht="32" customHeight="1">
      <x:c r="A7" s="22" t="str">
        <x:v>应收账款</x:v>
      </x:c>
      <x:c r="B7" s="22" t="str">
        <x:v>流动资产</x:v>
      </x:c>
      <x:c r="C7" s="32" t="str">
        <x:v>{{statements.balance_sheet.receivables}}</x:v>
      </x:c>
      <x:c r="D7" s="22" t="str">
        <x:v>结合函证及期后回款测试</x:v>
      </x:c>
    </x:row>
    <x:row r="8" ht="32" customHeight="1">
      <x:c r="A8" s="22" t="str">
        <x:v>存货</x:v>
      </x:c>
      <x:c r="B8" s="22" t="str">
        <x:v>流动资产</x:v>
      </x:c>
      <x:c r="C8" s="32" t="str">
        <x:v>{{statements.balance_sheet.inventory}}</x:v>
      </x:c>
      <x:c r="D8" s="22" t="str">
        <x:v>结合监盘及计价测试</x:v>
      </x:c>
    </x:row>
    <x:row r="9" ht="32" customHeight="1">
      <x:c r="A9" s="22" t="str">
        <x:v>非流动资产</x:v>
      </x:c>
      <x:c r="B9" s="22" t="str">
        <x:v>非流动资产</x:v>
      </x:c>
      <x:c r="C9" s="32" t="str">
        <x:v>{{statements.balance_sheet.noncurrent_assets}}</x:v>
      </x:c>
      <x:c r="D9" s="22" t="str">
        <x:v>含固定资产、无形资产及其他非流动资产</x:v>
      </x:c>
    </x:row>
    <x:row r="10" ht="22" customHeight="1">
      <x:c r="A10" s="37" t="str">
        <x:v>资产总计</x:v>
      </x:c>
      <x:c r="B10" s="37" t="str">
        <x:v>合计</x:v>
      </x:c>
      <x:c r="C10" s="38" t="n">
        <x:f>IF(COUNT(C6:C9)=4,SUM(C6:C9),0)</x:f>
        <x:v>0</x:v>
      </x:c>
      <x:c r="D10" s="37" t="str">
        <x:v>公式汇总</x:v>
      </x:c>
    </x:row>
    <x:row r="11" ht="32" customHeight="1">
      <x:c r="A11" s="22" t="str">
        <x:v>借款</x:v>
      </x:c>
      <x:c r="B11" s="22" t="str">
        <x:v>负债</x:v>
      </x:c>
      <x:c r="C11" s="32" t="str">
        <x:v>{{statements.balance_sheet.borrowings}}</x:v>
      </x:c>
      <x:c r="D11" s="22" t="str">
        <x:v>包含短期及长期借款</x:v>
      </x:c>
    </x:row>
    <x:row r="12" ht="32" customHeight="1">
      <x:c r="A12" s="22" t="str">
        <x:v>应付账款</x:v>
      </x:c>
      <x:c r="B12" s="22" t="str">
        <x:v>负债</x:v>
      </x:c>
      <x:c r="C12" s="32" t="str">
        <x:v>{{statements.balance_sheet.payables}}</x:v>
      </x:c>
      <x:c r="D12" s="22" t="str">
        <x:v>结合供应商函证及期后付款测试</x:v>
      </x:c>
    </x:row>
    <x:row r="13" ht="32" customHeight="1">
      <x:c r="A13" s="22" t="str">
        <x:v>其他负债</x:v>
      </x:c>
      <x:c r="B13" s="22" t="str">
        <x:v>负债</x:v>
      </x:c>
      <x:c r="C13" s="32" t="str">
        <x:v>{{statements.balance_sheet.other_liabilities}}</x:v>
      </x:c>
      <x:c r="D13" s="22" t="str">
        <x:v>含税费及其他流动/非流动负债</x:v>
      </x:c>
    </x:row>
    <x:row r="14" ht="22" customHeight="1">
      <x:c r="A14" s="37" t="str">
        <x:v>负债合计</x:v>
      </x:c>
      <x:c r="B14" s="37" t="str">
        <x:v>合计</x:v>
      </x:c>
      <x:c r="C14" s="38" t="n">
        <x:f>IF(COUNT(C11:C13)=3,SUM(C11:C13),0)</x:f>
        <x:v>0</x:v>
      </x:c>
      <x:c r="D14" s="37" t="str">
        <x:v>公式汇总</x:v>
      </x:c>
    </x:row>
    <x:row r="15" ht="32" customHeight="1">
      <x:c r="A15" s="22" t="str">
        <x:v>实收资本</x:v>
      </x:c>
      <x:c r="B15" s="22" t="str">
        <x:v>所有者权益</x:v>
      </x:c>
      <x:c r="C15" s="32" t="str">
        <x:v>{{statements.balance_sheet.paid_in_capital}}</x:v>
      </x:c>
      <x:c r="D15" s="22" t="str">
        <x:v>与工商及出资资料核对</x:v>
      </x:c>
    </x:row>
    <x:row r="16" ht="32" customHeight="1">
      <x:c r="A16" s="22" t="str">
        <x:v>未分配利润</x:v>
      </x:c>
      <x:c r="B16" s="22" t="str">
        <x:v>所有者权益</x:v>
      </x:c>
      <x:c r="C16" s="32" t="str">
        <x:v>{{statements.balance_sheet.retained_earnings}}</x:v>
      </x:c>
      <x:c r="D16" s="22" t="str">
        <x:v>与利润及分配决议勾稽</x:v>
      </x:c>
    </x:row>
    <x:row r="17" ht="32" customHeight="1">
      <x:c r="A17" s="22" t="str">
        <x:v>其他权益</x:v>
      </x:c>
      <x:c r="B17" s="22" t="str">
        <x:v>所有者权益</x:v>
      </x:c>
      <x:c r="C17" s="32" t="str">
        <x:v>{{statements.balance_sheet.other_equity}}</x:v>
      </x:c>
      <x:c r="D17" s="22" t="str">
        <x:v>资本公积及其他权益项目</x:v>
      </x:c>
    </x:row>
    <x:row r="18" ht="22" customHeight="1">
      <x:c r="A18" s="37" t="str">
        <x:v>所有者权益合计</x:v>
      </x:c>
      <x:c r="B18" s="37" t="str">
        <x:v>合计</x:v>
      </x:c>
      <x:c r="C18" s="38" t="n">
        <x:f>IF(COUNT(C15:C17)=3,SUM(C15:C17),0)</x:f>
        <x:v>0</x:v>
      </x:c>
      <x:c r="D18" s="37" t="str">
        <x:v>公式汇总</x:v>
      </x:c>
    </x:row>
    <x:row r="19" ht="22" customHeight="1">
      <x:c r="A19" s="39" t="str">
        <x:v>平衡检查（应为0）</x:v>
      </x:c>
      <x:c r="B19" s="39" t="str">
        <x:v>检查</x:v>
      </x:c>
      <x:c r="C19" s="40" t="n">
        <x:f>C10-C14-C18</x:f>
        <x:v>0</x:v>
      </x:c>
      <x:c r="D19" s="39" t="str">
        <x:v>资产－负债－所有者权益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34" customHeight="1">
      <x:c r="A1" s="3" t="str">
        <x:v>利润表</x:v>
      </x:c>
      <x:c r="B1" s="3" t="str">
        <x:v>利润表</x:v>
      </x:c>
      <x:c r="C1" s="3" t="str">
        <x:v>利润表</x:v>
      </x:c>
      <x:c r="D1" s="3" t="str">
        <x:v>利润表</x:v>
      </x:c>
    </x:row>
    <x:row r="2" ht="22" customHeight="1">
      <x:c r="A2" s="6" t="str">
        <x:v>{{project.company_name}} · {{project.audit_year}}年度</x:v>
      </x:c>
      <x:c r="B2" s="6" t="str">
        <x:v>{{project.company_name}} · {{project.audit_year}}年度</x:v>
      </x:c>
      <x:c r="C2" s="6" t="str">
        <x:v>{{project.company_name}} · {{project.audit_year}}年度</x:v>
      </x:c>
      <x:c r="D2" s="6" t="str">
        <x:v>{{project.company_name}} · {{project.audit_year}}年度</x:v>
      </x:c>
    </x:row>
    <x:row r="3">
      <x:c r="A3" s="9" t="str">
        <x:v>公司名称</x:v>
      </x:c>
      <x:c r="B3" s="11" t="str">
        <x:v>{{project.company_name}}</x:v>
      </x:c>
      <x:c r="C3" s="9" t="str">
        <x:v>审计项目</x:v>
      </x:c>
      <x:c r="D3" s="11" t="str">
        <x:v>{{project.project_id}}</x:v>
      </x:c>
    </x:row>
    <x:row r="4">
      <x:c r="A4" s="9" t="str">
        <x:v>财务报表日</x:v>
      </x:c>
      <x:c r="B4" s="11" t="str">
        <x:v>{{project.period_end}}</x:v>
      </x:c>
      <x:c r="C4" s="9" t="str">
        <x:v>金额单位</x:v>
      </x:c>
      <x:c r="D4" s="11" t="str">
        <x:v>{{project.currency_unit}}</x:v>
      </x:c>
    </x:row>
    <x:row r="5" ht="26" customHeight="1">
      <x:c r="A5" s="17" t="str">
        <x:v>项目</x:v>
      </x:c>
      <x:c r="B5" s="17" t="str">
        <x:v>类别</x:v>
      </x:c>
      <x:c r="C5" s="17" t="str">
        <x:v>本期金额</x:v>
      </x:c>
      <x:c r="D5" s="17" t="str">
        <x:v>审计说明</x:v>
      </x:c>
    </x:row>
    <x:row r="6" ht="32" customHeight="1">
      <x:c r="A6" s="21" t="str">
        <x:v>营业收入</x:v>
      </x:c>
      <x:c r="B6" s="21" t="str">
        <x:v>收入</x:v>
      </x:c>
      <x:c r="C6" s="31" t="str">
        <x:v>{{statements.income_statement.revenue}}</x:v>
      </x:c>
      <x:c r="D6" s="21" t="str">
        <x:v>结合合同、发票、收款及截止性测试</x:v>
      </x:c>
    </x:row>
    <x:row r="7" ht="32" customHeight="1">
      <x:c r="A7" s="22" t="str">
        <x:v>营业成本</x:v>
      </x:c>
      <x:c r="B7" s="22" t="str">
        <x:v>成本</x:v>
      </x:c>
      <x:c r="C7" s="32" t="str">
        <x:v>{{statements.income_statement.cost}}</x:v>
      </x:c>
      <x:c r="D7" s="22" t="str">
        <x:v>与收入匹配并检查成本结转</x:v>
      </x:c>
    </x:row>
    <x:row r="8" ht="22" customHeight="1">
      <x:c r="A8" s="37" t="str">
        <x:v>毛利</x:v>
      </x:c>
      <x:c r="B8" s="37" t="str">
        <x:v>小计</x:v>
      </x:c>
      <x:c r="C8" s="38" t="n">
        <x:f>IF(COUNT(C6:C7)=2,C6-C7,0)</x:f>
        <x:v>0</x:v>
      </x:c>
      <x:c r="D8" s="37" t="str">
        <x:v>营业收入－营业成本</x:v>
      </x:c>
    </x:row>
    <x:row r="9" ht="32" customHeight="1">
      <x:c r="A9" s="22" t="str">
        <x:v>期间费用及减值</x:v>
      </x:c>
      <x:c r="B9" s="22" t="str">
        <x:v>费用</x:v>
      </x:c>
      <x:c r="C9" s="32" t="str">
        <x:v>{{statements.income_statement.operating_expenses}}</x:v>
      </x:c>
      <x:c r="D9" s="22" t="str">
        <x:v>含销售、管理、财务费用及减值</x:v>
      </x:c>
    </x:row>
    <x:row r="10" ht="22" customHeight="1">
      <x:c r="A10" s="37" t="str">
        <x:v>营业利润</x:v>
      </x:c>
      <x:c r="B10" s="37" t="str">
        <x:v>小计</x:v>
      </x:c>
      <x:c r="C10" s="38" t="n">
        <x:f>IF(COUNT(C8:C9)=2,C8-C9,0)</x:f>
        <x:v>0</x:v>
      </x:c>
      <x:c r="D10" s="37" t="str">
        <x:v>毛利－期间费用及减值</x:v>
      </x:c>
    </x:row>
    <x:row r="11" ht="32" customHeight="1">
      <x:c r="A11" s="22" t="str">
        <x:v>营业外及投资净收益</x:v>
      </x:c>
      <x:c r="B11" s="22" t="str">
        <x:v>损益</x:v>
      </x:c>
      <x:c r="C11" s="32" t="str">
        <x:v>{{statements.income_statement.non_operating_net}}</x:v>
      </x:c>
      <x:c r="D11" s="22" t="str">
        <x:v>投资收益及营业外收支净额</x:v>
      </x:c>
    </x:row>
    <x:row r="12" ht="22" customHeight="1">
      <x:c r="A12" s="37" t="str">
        <x:v>利润总额</x:v>
      </x:c>
      <x:c r="B12" s="37" t="str">
        <x:v>小计</x:v>
      </x:c>
      <x:c r="C12" s="38" t="n">
        <x:f>IF(COUNT(C10:C11)=2,C10+C11,0)</x:f>
        <x:v>0</x:v>
      </x:c>
      <x:c r="D12" s="37" t="str">
        <x:v>营业利润＋营业外及投资净收益</x:v>
      </x:c>
    </x:row>
    <x:row r="13" ht="32" customHeight="1">
      <x:c r="A13" s="22" t="str">
        <x:v>所得税费用</x:v>
      </x:c>
      <x:c r="B13" s="22" t="str">
        <x:v>税项</x:v>
      </x:c>
      <x:c r="C13" s="32" t="str">
        <x:v>{{statements.income_statement.income_tax}}</x:v>
      </x:c>
      <x:c r="D13" s="22" t="str">
        <x:v>与纳税申报及递延税项复核</x:v>
      </x:c>
    </x:row>
    <x:row r="14" ht="22" customHeight="1">
      <x:c r="A14" s="37" t="str">
        <x:v>净利润</x:v>
      </x:c>
      <x:c r="B14" s="37" t="str">
        <x:v>合计</x:v>
      </x:c>
      <x:c r="C14" s="38" t="n">
        <x:f>IF(COUNT(C12:C13)=2,C12-C13,0)</x:f>
        <x:v>0</x:v>
      </x:c>
      <x:c r="D14" s="37" t="str">
        <x:v>利润总额－所得税费用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34" customHeight="1">
      <x:c r="A1" s="3" t="str">
        <x:v>现金流量表</x:v>
      </x:c>
      <x:c r="B1" s="3" t="str">
        <x:v>现金流量表</x:v>
      </x:c>
      <x:c r="C1" s="3" t="str">
        <x:v>现金流量表</x:v>
      </x:c>
      <x:c r="D1" s="3" t="str">
        <x:v>现金流量表</x:v>
      </x:c>
    </x:row>
    <x:row r="2" ht="22" customHeight="1">
      <x:c r="A2" s="6" t="str">
        <x:v>{{project.company_name}} · {{project.audit_year}}年度</x:v>
      </x:c>
      <x:c r="B2" s="6" t="str">
        <x:v>{{project.company_name}} · {{project.audit_year}}年度</x:v>
      </x:c>
      <x:c r="C2" s="6" t="str">
        <x:v>{{project.company_name}} · {{project.audit_year}}年度</x:v>
      </x:c>
      <x:c r="D2" s="6" t="str">
        <x:v>{{project.company_name}} · {{project.audit_year}}年度</x:v>
      </x:c>
    </x:row>
    <x:row r="3">
      <x:c r="A3" s="9" t="str">
        <x:v>公司名称</x:v>
      </x:c>
      <x:c r="B3" s="11" t="str">
        <x:v>{{project.company_name}}</x:v>
      </x:c>
      <x:c r="C3" s="9" t="str">
        <x:v>审计项目</x:v>
      </x:c>
      <x:c r="D3" s="11" t="str">
        <x:v>{{project.project_id}}</x:v>
      </x:c>
    </x:row>
    <x:row r="4">
      <x:c r="A4" s="9" t="str">
        <x:v>财务报表日</x:v>
      </x:c>
      <x:c r="B4" s="11" t="str">
        <x:v>{{project.period_end}}</x:v>
      </x:c>
      <x:c r="C4" s="9" t="str">
        <x:v>金额单位</x:v>
      </x:c>
      <x:c r="D4" s="11" t="str">
        <x:v>{{project.currency_unit}}</x:v>
      </x:c>
    </x:row>
    <x:row r="5" ht="26" customHeight="1">
      <x:c r="A5" s="17" t="str">
        <x:v>项目</x:v>
      </x:c>
      <x:c r="B5" s="17" t="str">
        <x:v>类别</x:v>
      </x:c>
      <x:c r="C5" s="17" t="str">
        <x:v>本期金额</x:v>
      </x:c>
      <x:c r="D5" s="17" t="str">
        <x:v>审核状态/说明</x:v>
      </x:c>
    </x:row>
    <x:row r="6" ht="32" customHeight="1">
      <x:c r="A6" s="21" t="str">
        <x:v>经营活动产生的现金流量净额</x:v>
      </x:c>
      <x:c r="B6" s="21" t="str">
        <x:v>经营活动</x:v>
      </x:c>
      <x:c r="C6" s="31" t="str">
        <x:v>{{statements.cash_flow.net_operating}}</x:v>
      </x:c>
      <x:c r="D6" s="21" t="str">
        <x:v>已与经营性收支和工作底稿勾稽</x:v>
      </x:c>
    </x:row>
    <x:row r="7" ht="32" customHeight="1">
      <x:c r="A7" s="22" t="str">
        <x:v>投资活动产生的现金流量净额</x:v>
      </x:c>
      <x:c r="B7" s="22" t="str">
        <x:v>投资活动</x:v>
      </x:c>
      <x:c r="C7" s="32" t="str">
        <x:v>{{statements.cash_flow.net_investing}}</x:v>
      </x:c>
      <x:c r="D7" s="22" t="str">
        <x:v>已复核资产购置和处置</x:v>
      </x:c>
    </x:row>
    <x:row r="8" ht="32" customHeight="1">
      <x:c r="A8" s="22" t="str">
        <x:v>筹资活动产生的现金流量净额</x:v>
      </x:c>
      <x:c r="B8" s="22" t="str">
        <x:v>筹资活动</x:v>
      </x:c>
      <x:c r="C8" s="32" t="str">
        <x:v>{{statements.cash_flow.net_financing}}</x:v>
      </x:c>
      <x:c r="D8" s="22" t="str">
        <x:v>已复核借款、还款及权益交易</x:v>
      </x:c>
    </x:row>
    <x:row r="9" ht="32" customHeight="1">
      <x:c r="A9" s="22" t="str">
        <x:v>汇率变动对现金的影响</x:v>
      </x:c>
      <x:c r="B9" s="22" t="str">
        <x:v>汇率影响</x:v>
      </x:c>
      <x:c r="C9" s="32" t="str">
        <x:v>{{statements.cash_flow.fx_effect}}</x:v>
      </x:c>
      <x:c r="D9" s="22" t="str">
        <x:v>已复核外币折算影响</x:v>
      </x:c>
    </x:row>
    <x:row r="10" ht="22" customHeight="1">
      <x:c r="A10" s="37" t="str">
        <x:v>现金及现金等价物净增加额</x:v>
      </x:c>
      <x:c r="B10" s="37" t="str">
        <x:v>合计</x:v>
      </x:c>
      <x:c r="C10" s="38" t="n">
        <x:f>IF(COUNT(C6:C9)=4,SUM(C6:C9),0)</x:f>
        <x:v>0</x:v>
      </x:c>
      <x:c r="D10" s="37" t="str">
        <x:v>公式汇总</x:v>
      </x:c>
    </x:row>
    <x:row r="11" ht="32" customHeight="1">
      <x:c r="A11" s="22" t="str">
        <x:v>期初现金及现金等价物余额</x:v>
      </x:c>
      <x:c r="B11" s="22" t="str">
        <x:v>期初余额</x:v>
      </x:c>
      <x:c r="C11" s="32" t="str">
        <x:v>{{statements.cash_flow.opening_cash}}</x:v>
      </x:c>
      <x:c r="D11" s="22" t="str">
        <x:v>与上年期末余额衔接</x:v>
      </x:c>
    </x:row>
    <x:row r="12" ht="22" customHeight="1">
      <x:c r="A12" s="37" t="str">
        <x:v>期末现金及现金等价物余额</x:v>
      </x:c>
      <x:c r="B12" s="37" t="str">
        <x:v>期末余额</x:v>
      </x:c>
      <x:c r="C12" s="38" t="n">
        <x:f>IF(COUNT(C10:C11)=2,C10+C11,0)</x:f>
        <x:v>0</x:v>
      </x:c>
      <x:c r="D12" s="37" t="str">
        <x:v>与资产负债表货币资金核对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34" customHeight="1">
      <x:c r="A1" s="3" t="str">
        <x:v>所有者权益变动表</x:v>
      </x:c>
      <x:c r="B1" s="3" t="str">
        <x:v>所有者权益变动表</x:v>
      </x:c>
      <x:c r="C1" s="3" t="str">
        <x:v>所有者权益变动表</x:v>
      </x:c>
      <x:c r="D1" s="3" t="str">
        <x:v>所有者权益变动表</x:v>
      </x:c>
    </x:row>
    <x:row r="2" ht="22" customHeight="1">
      <x:c r="A2" s="6" t="str">
        <x:v>{{project.company_name}} · {{project.audit_year}}年度</x:v>
      </x:c>
      <x:c r="B2" s="6" t="str">
        <x:v>{{project.company_name}} · {{project.audit_year}}年度</x:v>
      </x:c>
      <x:c r="C2" s="6" t="str">
        <x:v>{{project.company_name}} · {{project.audit_year}}年度</x:v>
      </x:c>
      <x:c r="D2" s="6" t="str">
        <x:v>{{project.company_name}} · {{project.audit_year}}年度</x:v>
      </x:c>
    </x:row>
    <x:row r="3">
      <x:c r="A3" s="9" t="str">
        <x:v>公司名称</x:v>
      </x:c>
      <x:c r="B3" s="11" t="str">
        <x:v>{{project.company_name}}</x:v>
      </x:c>
      <x:c r="C3" s="9" t="str">
        <x:v>审计项目</x:v>
      </x:c>
      <x:c r="D3" s="11" t="str">
        <x:v>{{project.project_id}}</x:v>
      </x:c>
    </x:row>
    <x:row r="4">
      <x:c r="A4" s="9" t="str">
        <x:v>财务报表日</x:v>
      </x:c>
      <x:c r="B4" s="11" t="str">
        <x:v>{{project.period_end}}</x:v>
      </x:c>
      <x:c r="C4" s="9" t="str">
        <x:v>金额单位</x:v>
      </x:c>
      <x:c r="D4" s="11" t="str">
        <x:v>{{project.currency_unit}}</x:v>
      </x:c>
    </x:row>
    <x:row r="5" ht="26" customHeight="1">
      <x:c r="A5" s="17" t="str">
        <x:v>项目</x:v>
      </x:c>
      <x:c r="B5" s="17" t="str">
        <x:v>类别</x:v>
      </x:c>
      <x:c r="C5" s="17" t="str">
        <x:v>本期金额</x:v>
      </x:c>
      <x:c r="D5" s="17" t="str">
        <x:v>审核状态/说明</x:v>
      </x:c>
    </x:row>
    <x:row r="6" ht="32" customHeight="1">
      <x:c r="A6" s="21" t="str">
        <x:v>期初所有者权益</x:v>
      </x:c>
      <x:c r="B6" s="21" t="str">
        <x:v>期初余额</x:v>
      </x:c>
      <x:c r="C6" s="31" t="str">
        <x:v>{{statements.equity.opening_equity}}</x:v>
      </x:c>
      <x:c r="D6" s="21" t="str">
        <x:v>与上年经审计权益衔接</x:v>
      </x:c>
    </x:row>
    <x:row r="7" ht="22" customHeight="1">
      <x:c r="A7" s="22" t="str">
        <x:v>本期净利润</x:v>
      </x:c>
      <x:c r="B7" s="22" t="str">
        <x:v>损益变动</x:v>
      </x:c>
      <x:c r="C7" s="43" t="n">
        <x:f>'利润表'!C14</x:f>
        <x:v>0</x:v>
      </x:c>
      <x:c r="D7" s="22" t="str">
        <x:v>链接利润表净利润</x:v>
      </x:c>
    </x:row>
    <x:row r="8" ht="32" customHeight="1">
      <x:c r="A8" s="22" t="str">
        <x:v>所有者投入、分配及其他变动</x:v>
      </x:c>
      <x:c r="B8" s="22" t="str">
        <x:v>所有者交易</x:v>
      </x:c>
      <x:c r="C8" s="32" t="str">
        <x:v>{{statements.equity.owner_transactions}}</x:v>
      </x:c>
      <x:c r="D8" s="22" t="str">
        <x:v>经股东会决议及权益底稿复核</x:v>
      </x:c>
    </x:row>
    <x:row r="9" ht="22" customHeight="1">
      <x:c r="A9" s="37" t="str">
        <x:v>期末所有者权益</x:v>
      </x:c>
      <x:c r="B9" s="37" t="str">
        <x:v>期末余额</x:v>
      </x:c>
      <x:c r="C9" s="38" t="n">
        <x:f>IF(COUNT(C6:C8)=3,SUM(C6:C8),0)</x:f>
        <x:v>0</x:v>
      </x:c>
      <x:c r="D9" s="37" t="str">
        <x:v>与资产负债表所有者权益核对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40" hidden="0" customWidth="1"/>
  </x:cols>
  <x:sheetData>
    <x:row r="1" ht="34" customHeight="1">
      <x:c r="A1" s="3" t="str">
        <x:v>审计检查与编制说明</x:v>
      </x:c>
      <x:c r="B1" s="3" t="str">
        <x:v>审计检查与编制说明</x:v>
      </x:c>
      <x:c r="C1" s="3" t="str">
        <x:v>审计检查与编制说明</x:v>
      </x:c>
      <x:c r="D1" s="3" t="str">
        <x:v>审计检查与编制说明</x:v>
      </x:c>
      <x:c r="E1" s="3" t="str">
        <x:v>审计检查与编制说明</x:v>
      </x:c>
      <x:c r="F1" s="3" t="str">
        <x:v>审计检查与编制说明</x:v>
      </x:c>
      <x:c r="G1" s="3" t="str">
        <x:v>审计检查与编制说明</x:v>
      </x:c>
    </x:row>
    <x:row r="2" ht="22" customHeight="1">
      <x:c r="A2" s="6" t="str">
        <x:v>公式化勾稽检查、输入说明与交付复核</x:v>
      </x:c>
      <x:c r="B2" s="6" t="str">
        <x:v>公式化勾稽检查、输入说明与交付复核</x:v>
      </x:c>
      <x:c r="C2" s="6" t="str">
        <x:v>公式化勾稽检查、输入说明与交付复核</x:v>
      </x:c>
      <x:c r="D2" s="6" t="str">
        <x:v>公式化勾稽检查、输入说明与交付复核</x:v>
      </x:c>
      <x:c r="E2" s="6" t="str">
        <x:v>公式化勾稽检查、输入说明与交付复核</x:v>
      </x:c>
      <x:c r="F2" s="6" t="str">
        <x:v>公式化勾稽检查、输入说明与交付复核</x:v>
      </x:c>
      <x:c r="G2" s="6" t="str">
        <x:v>公式化勾稽检查、输入说明与交付复核</x:v>
      </x:c>
    </x:row>
    <x:row r="3">
      <x:c r="A3" s="8" t="str">
        <x:v>整体状态</x:v>
      </x:c>
      <x:c r="B3" s="44" t="str">
        <x:f>IF(COUNTIF(F7:F10,"ERROR")=0,"OK","ERROR")</x:f>
        <x:v>OK</x:v>
      </x:c>
      <x:c r="C3" s="8" t="str">
        <x:v>审计项目</x:v>
      </x:c>
      <x:c r="D3" s="10" t="str">
        <x:v>{{project.project_id}}</x:v>
      </x:c>
      <x:c r="E3" s="8" t="str">
        <x:v>审计意见</x:v>
      </x:c>
      <x:c r="F3" s="10" t="str">
        <x:v>{{report.opinion_type}}</x:v>
      </x:c>
    </x:row>
    <x:row r="4">
      <x:c r="A4" s="8" t="str">
        <x:v>编制人</x:v>
      </x:c>
      <x:c r="B4" s="10" t="str">
        <x:v>{{project.prepared_by}}</x:v>
      </x:c>
      <x:c r="C4" s="8" t="str">
        <x:v>财务报表日</x:v>
      </x:c>
      <x:c r="D4" s="10" t="str">
        <x:v>{{project.period_end}}</x:v>
      </x:c>
      <x:c r="E4" s="8" t="str">
        <x:v>金额单位</x:v>
      </x:c>
      <x:c r="F4" s="10" t="str">
        <x:v>{{project.currency_unit}}</x:v>
      </x:c>
    </x:row>
    <x:row r="6" ht="26" customHeight="1">
      <x:c r="A6" s="17" t="str">
        <x:v>检查项目</x:v>
      </x:c>
      <x:c r="B6" s="17" t="str">
        <x:v>实际值</x:v>
      </x:c>
      <x:c r="C6" s="17" t="str">
        <x:v>期望值</x:v>
      </x:c>
      <x:c r="D6" s="17" t="str">
        <x:v>差异</x:v>
      </x:c>
      <x:c r="E6" s="17" t="str">
        <x:v>容差</x:v>
      </x:c>
      <x:c r="F6" s="17" t="str">
        <x:v>状态</x:v>
      </x:c>
      <x:c r="G6" s="17" t="str">
        <x:v>说明/修复提示</x:v>
      </x:c>
    </x:row>
    <x:row r="7" ht="22" customHeight="1">
      <x:c r="A7" s="21" t="str">
        <x:v>资产负债表平衡</x:v>
      </x:c>
      <x:c r="B7" s="47" t="n">
        <x:f>'资产负债表'!C19</x:f>
        <x:v>0</x:v>
      </x:c>
      <x:c r="C7" s="47" t="n">
        <x:f>0</x:f>
        <x:v>0</x:v>
      </x:c>
      <x:c r="D7" s="47" t="n">
        <x:f>IF(COUNT(B7:C7)=2,B7-C7,0)</x:f>
        <x:v>0</x:v>
      </x:c>
      <x:c r="E7" s="48" t="n">
        <x:v>0.01</x:v>
      </x:c>
      <x:c r="F7" s="51" t="str">
        <x:f>IF(ABS(D7)&lt;=E7,"OK","ERROR")</x:f>
        <x:v>OK</x:v>
      </x:c>
      <x:c r="G7" s="21" t="str">
        <x:v>资产总计应等于负债与所有者权益之和。</x:v>
      </x:c>
    </x:row>
    <x:row r="8" ht="22" customHeight="1">
      <x:c r="A8" s="22" t="str">
        <x:v>期末现金与货币资金一致</x:v>
      </x:c>
      <x:c r="B8" s="43" t="n">
        <x:f>'现金流量表'!C12</x:f>
        <x:v>0</x:v>
      </x:c>
      <x:c r="C8" s="43" t="n">
        <x:f>IF(COUNT('资产负债表'!C6)=1,'资产负债表'!C6,0)</x:f>
        <x:v>0</x:v>
      </x:c>
      <x:c r="D8" s="43" t="n">
        <x:f>IF(COUNT(B8:C8)=2,B8-C8,0)</x:f>
        <x:v>0</x:v>
      </x:c>
      <x:c r="E8" s="33" t="n">
        <x:v>0.01</x:v>
      </x:c>
      <x:c r="F8" s="52" t="str">
        <x:f>IF(ABS(D8)&lt;=E8,"OK","ERROR")</x:f>
        <x:v>OK</x:v>
      </x:c>
      <x:c r="G8" s="22" t="str">
        <x:v>现金流量表期末现金应与资产负债表货币资金一致。</x:v>
      </x:c>
    </x:row>
    <x:row r="9" ht="22" customHeight="1">
      <x:c r="A9" s="22" t="str">
        <x:v>权益表净利润与利润表一致</x:v>
      </x:c>
      <x:c r="B9" s="43" t="n">
        <x:f>'所有者权益变动表'!C7</x:f>
        <x:v>0</x:v>
      </x:c>
      <x:c r="C9" s="43" t="n">
        <x:f>'利润表'!C14</x:f>
        <x:v>0</x:v>
      </x:c>
      <x:c r="D9" s="43" t="n">
        <x:f>IF(COUNT(B9:C9)=2,B9-C9,0)</x:f>
        <x:v>0</x:v>
      </x:c>
      <x:c r="E9" s="33" t="n">
        <x:v>0.01</x:v>
      </x:c>
      <x:c r="F9" s="52" t="str">
        <x:f>IF(ABS(D9)&lt;=E9,"OK","ERROR")</x:f>
        <x:v>OK</x:v>
      </x:c>
      <x:c r="G9" s="22" t="str">
        <x:v>所有者权益变动表净利润应直接链接利润表。</x:v>
      </x:c>
    </x:row>
    <x:row r="10" ht="22" customHeight="1">
      <x:c r="A10" s="22" t="str">
        <x:v>期末权益与资产负债表一致</x:v>
      </x:c>
      <x:c r="B10" s="43" t="n">
        <x:f>'所有者权益变动表'!C9</x:f>
        <x:v>0</x:v>
      </x:c>
      <x:c r="C10" s="43" t="n">
        <x:f>'资产负债表'!C18</x:f>
        <x:v>0</x:v>
      </x:c>
      <x:c r="D10" s="43" t="n">
        <x:f>IF(COUNT(B10:C10)=2,B10-C10,0)</x:f>
        <x:v>0</x:v>
      </x:c>
      <x:c r="E10" s="33" t="n">
        <x:v>0.01</x:v>
      </x:c>
      <x:c r="F10" s="52" t="str">
        <x:f>IF(ABS(D10)&lt;=E10,"OK","ERROR")</x:f>
        <x:v>OK</x:v>
      </x:c>
      <x:c r="G10" s="22" t="str">
        <x:v>权益变动表期末权益应与资产负债表一致。</x:v>
      </x:c>
    </x:row>
    <x:row r="13">
      <x:c r="A13" s="54" t="str">
        <x:v>编制说明</x:v>
      </x:c>
      <x:c r="B13" s="54"/>
      <x:c r="C13" s="54"/>
      <x:c r="D13" s="54"/>
      <x:c r="E13" s="54"/>
      <x:c r="F13" s="54"/>
      <x:c r="G13" s="54"/>
    </x:row>
    <x:row r="14" ht="23" customHeight="1">
      <x:c r="A14" s="73" t="str">
        <x:v>1. 黄色底、蓝色字为模板输入；黑色字为同表公式；绿色字为跨表链接。</x:v>
      </x:c>
      <x:c r="B14" s="74"/>
      <x:c r="C14" s="74"/>
      <x:c r="D14" s="74"/>
      <x:c r="E14" s="74"/>
      <x:c r="F14" s="74"/>
      <x:c r="G14" s="75"/>
    </x:row>
    <x:row r="15" ht="23" customHeight="1">
      <x:c r="A15" s="76" t="str">
        <x:v>2. 报表为年度审计摘要格式；明细及证据应保留在审计工作底稿中。</x:v>
      </x:c>
      <x:c r="B15" s="77"/>
      <x:c r="C15" s="77"/>
      <x:c r="D15" s="77"/>
      <x:c r="E15" s="77"/>
      <x:c r="F15" s="77"/>
      <x:c r="G15" s="78"/>
    </x:row>
    <x:row r="16" ht="23" customHeight="1">
      <x:c r="A16" s="76" t="str">
        <x:v>3. 合计、现金衔接及权益衔接均由公式计算，不应手工覆盖。</x:v>
      </x:c>
      <x:c r="B16" s="77"/>
      <x:c r="C16" s="77"/>
      <x:c r="D16" s="77"/>
      <x:c r="E16" s="77"/>
      <x:c r="F16" s="77"/>
      <x:c r="G16" s="78"/>
    </x:row>
    <x:row r="17" ht="23" customHeight="1">
      <x:c r="A17" s="76" t="str">
        <x:v>4. 交付前 Checks 应全部为 OK；如有 ERROR，请按说明定位修复。</x:v>
      </x:c>
      <x:c r="B17" s="77"/>
      <x:c r="C17" s="77"/>
      <x:c r="D17" s="77"/>
      <x:c r="E17" s="77"/>
      <x:c r="F17" s="77"/>
      <x:c r="G17" s="78"/>
    </x:row>
    <x:row r="18" ht="23" customHeight="1">
      <x:c r="A18" s="79" t="str">
        <x:v>5. 本模板应与独立审计报告、财务报表附注一并归档。</x:v>
      </x:c>
      <x:c r="B18" s="80"/>
      <x:c r="C18" s="80"/>
      <x:c r="D18" s="80"/>
      <x:c r="E18" s="80"/>
      <x:c r="F18" s="80"/>
      <x:c r="G18" s="81"/>
    </x:row>
  </x:sheetData>
  <x:mergeCells>
    <x:mergeCell ref="A1:G1"/>
    <x:mergeCell ref="A2:G2"/>
    <x:mergeCell ref="A13:G13"/>
    <x:mergeCell ref="A14:G14"/>
    <x:mergeCell ref="A15:G15"/>
    <x:mergeCell ref="A16:G16"/>
    <x:mergeCell ref="A17:G17"/>
    <x:mergeCell ref="A18:G18"/>
  </x:mergeCells>
  <x:conditionalFormatting sqref="F7:F10">
    <x:cfRule type="containsText" dxfId="0" priority="1" operator="containsText" text="OK"/>
    <x:cfRule type="containsText" dxfId="1" priority="2" operator="containsText" text="ERROR"/>
  </x:conditionalFormatting>
  <x:conditionalFormatting sqref="B3:B3">
    <x:cfRule type="containsText" dxfId="2" priority="3" operator="containsText" text="OK"/>
    <x:cfRule type="containsText" dxfId="3" priority="4" operator="containsText" text="ERROR"/>
  </x:conditionalFormatting>
  <x:pageMargins left="0.7" right="0.7" top="0.75" bottom="0.75" header="0.3" footer="0.3"/>
</x:worksheet>
</file>